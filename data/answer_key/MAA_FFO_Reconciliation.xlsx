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structions" sheetId="1" state="visible" r:id="rId3"/>
    <sheet name="MAA Reconciliation" sheetId="2" state="visible" r:id="rId4"/>
    <sheet name="Adjustment Log" sheetId="3" state="visible" r:id="rId5"/>
    <sheet name="Lists" sheetId="4" state="hidden" r:id="rId6"/>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D4" authorId="0">
      <text>
        <r>
          <rPr>
            <sz val="10"/>
            <rFont val="Arial"/>
            <family val="2"/>
          </rPr>
          <t xml:space="preserve">Worked example. Source: MAA Q2 2026 Earnings Release and Supplemental Data, page 10, three months ended June 30, 2026.</t>
        </r>
      </text>
    </comment>
  </commentList>
</comments>
</file>

<file path=xl/sharedStrings.xml><?xml version="1.0" encoding="utf-8"?>
<sst xmlns="http://schemas.openxmlformats.org/spreadsheetml/2006/main" count="138" uniqueCount="108">
  <si>
    <t xml:space="preserve">MAA FFO Hand Reconciliation — Ground Truth Workbook</t>
  </si>
  <si>
    <t xml:space="preserve">REIT FFO Comparability Pipeline · Phase 3 (Manual Baseline)</t>
  </si>
  <si>
    <t xml:space="preserve">What this is</t>
  </si>
  <si>
    <t xml:space="preserve">You rebuild MAA's FFO, Core FFO and Core AFFO by hand for Q4 2025, Q1 2026 and Q2 2026. The result is the answer key the pipeline is tested against.</t>
  </si>
  <si>
    <t xml:space="preserve">Legend</t>
  </si>
  <si>
    <t xml:space="preserve">Yellow cells = you fill these in. Type numbers exactly as shown in the PDF (in $ thousands), with negatives as negative numbers.</t>
  </si>
  <si>
    <t xml:space="preserve">Blue text = a number typed in from a source document.   Black text = formula (do not overwrite).</t>
  </si>
  <si>
    <t xml:space="preserve">The Q2 2026 column is pre-filled as a worked example (MAA_2026Q2_supplemental.pdf, page 10). Fill Q4 2025 and Q1 2026 yourself.</t>
  </si>
  <si>
    <t xml:space="preserve">Steps</t>
  </si>
  <si>
    <t xml:space="preserve">1. Open the supplemental and find 'Reconciliation of Net Income Available for MAA Common Shareholders to FFO, Core FFO, Core AFFO and FAD' (page 10 in all three quarters). Enter the page number.</t>
  </si>
  <si>
    <t xml:space="preserve">2. Enter each line from the three-month column only (not the six-month or full-year column).</t>
  </si>
  <si>
    <t xml:space="preserve">3. If a line appears that has no row, use the matching 'Other' row and write the line's label in the note column (G).</t>
  </si>
  <si>
    <t xml:space="preserve">4. Enter the FFO weighted average common shares AND UNITS – diluted (not common shares only).</t>
  </si>
  <si>
    <t xml:space="preserve">5. Enter MAA's reported totals and per-share figures. Every Check cell should read OK. If it reads CHECK, find the missing or mistyped line.</t>
  </si>
  <si>
    <t xml:space="preserve">6. On the Adjustment Log tab, add one row per non-zero adjustment with its category and a short note in your own words. This feeds the Phase 4 adjustment map.</t>
  </si>
  <si>
    <t xml:space="preserve">Things to watch in these three quarters</t>
  </si>
  <si>
    <t xml:space="preserve">• Q4 2025 has a 'Legal costs, settlements and (recoveries), net' line of 53,000 — a large Core FFO add-back. It also lists 'Gain on consolidation of third-party development' (zero this quarter).</t>
  </si>
  <si>
    <t xml:space="preserve">• The casualty line changes sign between quarters (charge vs. recovery). Enter the sign shown.</t>
  </si>
  <si>
    <t xml:space="preserve">• Per-share math uses shares + OP units because net income to noncontrolling interests (unitholders) is added back in FFO.</t>
  </si>
  <si>
    <t xml:space="preserve">Source: Mid-America Apartment Communities, Inc. quarterly Earnings Release and Supplemental Data (Q4 2025, Q1 2026, Q2 2026), maac.com 'For Investors'.</t>
  </si>
  <si>
    <t xml:space="preserve">MAA — Net Income to FFO, Core FFO and Core AFFO</t>
  </si>
  <si>
    <t xml:space="preserve">$ in thousands, except per-share data. Three months ended.</t>
  </si>
  <si>
    <t xml:space="preserve">Line item</t>
  </si>
  <si>
    <t xml:space="preserve">Q4 2025</t>
  </si>
  <si>
    <t xml:space="preserve">Q1 2026</t>
  </si>
  <si>
    <t xml:space="preserve">Q2 2026</t>
  </si>
  <si>
    <t xml:space="preserve">Metric</t>
  </si>
  <si>
    <t xml:space="preserve">Your note (why MAA makes this adjustment)</t>
  </si>
  <si>
    <t xml:space="preserve">Source page number</t>
  </si>
  <si>
    <t xml:space="preserve">Step 1 — Net income to NAREIT FFO</t>
  </si>
  <si>
    <t xml:space="preserve">Net income available for MAA common shareholders</t>
  </si>
  <si>
    <t xml:space="preserve">FFO</t>
  </si>
  <si>
    <t xml:space="preserve">Starting point (GAAP)</t>
  </si>
  <si>
    <t xml:space="preserve">+ Depreciation and amortization of real estate assets</t>
  </si>
  <si>
    <t xml:space="preserve">NAREIT: non-cash, added back</t>
  </si>
  <si>
    <t xml:space="preserve">(Gain) loss on sale of depreciable real estate assets</t>
  </si>
  <si>
    <t xml:space="preserve">NAREIT: property sale gains excluded</t>
  </si>
  <si>
    <t xml:space="preserve">+ MAA's share of JV real estate depreciation</t>
  </si>
  <si>
    <t xml:space="preserve">NAREIT: same as above, for the joint venture</t>
  </si>
  <si>
    <t xml:space="preserve">Gain on consolidation of third-party development</t>
  </si>
  <si>
    <t xml:space="preserve">Appears in Q4 2025 (zero that quarter)</t>
  </si>
  <si>
    <t xml:space="preserve">+ Net income attributable to noncontrolling interests</t>
  </si>
  <si>
    <t xml:space="preserve">Adds back unitholders' share; per-share uses shares + units</t>
  </si>
  <si>
    <t xml:space="preserve">Other FFO adjustment (describe in note)</t>
  </si>
  <si>
    <t xml:space="preserve">FFO attributable to common shareholders and unitholders</t>
  </si>
  <si>
    <t xml:space="preserve">Step 2 — FFO to Core FFO (MAA-specific adjustments)</t>
  </si>
  <si>
    <t xml:space="preserve">(Gain) loss on embedded derivative in preferred shares</t>
  </si>
  <si>
    <t xml:space="preserve">Core FFO</t>
  </si>
  <si>
    <t xml:space="preserve">Loss (gain) on investments, net of tax</t>
  </si>
  <si>
    <t xml:space="preserve">Casualty related (recoveries) and charges, net</t>
  </si>
  <si>
    <t xml:space="preserve">Sign flips between quarters</t>
  </si>
  <si>
    <t xml:space="preserve">Legal costs, settlements and (recoveries), net</t>
  </si>
  <si>
    <t xml:space="preserve">Large in Q4 2025</t>
  </si>
  <si>
    <t xml:space="preserve">Other Core FFO adjustment (describe in note)</t>
  </si>
  <si>
    <t xml:space="preserve">Core FFO attributable to common shareholders and unitholders</t>
  </si>
  <si>
    <t xml:space="preserve">Step 3 — Core FFO to Core AFFO</t>
  </si>
  <si>
    <t xml:space="preserve">Recurring capital expenditures</t>
  </si>
  <si>
    <t xml:space="preserve">AFFO</t>
  </si>
  <si>
    <t xml:space="preserve">Maintenance capex needed to keep assets running</t>
  </si>
  <si>
    <t xml:space="preserve">Core AFFO attributable to common shareholders and unitholders</t>
  </si>
  <si>
    <t xml:space="preserve">Step 4 — Per share</t>
  </si>
  <si>
    <t xml:space="preserve">FFO weighted average common shares and units – diluted (000s)</t>
  </si>
  <si>
    <t xml:space="preserve">Shares + OP units, not common shares only</t>
  </si>
  <si>
    <t xml:space="preserve">FFO per share – diluted</t>
  </si>
  <si>
    <t xml:space="preserve">Core FFO per share – diluted</t>
  </si>
  <si>
    <t xml:space="preserve">Core AFFO per share – diluted</t>
  </si>
  <si>
    <t xml:space="preserve">Step 5 — Check against MAA's reported figures</t>
  </si>
  <si>
    <t xml:space="preserve">Reported FFO ($000)</t>
  </si>
  <si>
    <t xml:space="preserve">Reported Core FFO ($000)</t>
  </si>
  <si>
    <t xml:space="preserve">Reported Core AFFO ($000)</t>
  </si>
  <si>
    <t xml:space="preserve">Reported FFO per share</t>
  </si>
  <si>
    <t xml:space="preserve">Reported Core FFO per share</t>
  </si>
  <si>
    <t xml:space="preserve">Reported Core AFFO per share</t>
  </si>
  <si>
    <t xml:space="preserve">Check: FFO total</t>
  </si>
  <si>
    <t xml:space="preserve">Check: Core FFO total</t>
  </si>
  <si>
    <t xml:space="preserve">Check: Core AFFO total</t>
  </si>
  <si>
    <t xml:space="preserve">Check: FFO per share</t>
  </si>
  <si>
    <t xml:space="preserve">Check: Core FFO per share</t>
  </si>
  <si>
    <t xml:space="preserve">Check: Core AFFO per share</t>
  </si>
  <si>
    <t xml:space="preserve">Quarter</t>
  </si>
  <si>
    <t xml:space="preserve">Line item (as MAA labels it)</t>
  </si>
  <si>
    <t xml:space="preserve">Amount ($000)</t>
  </si>
  <si>
    <t xml:space="preserve">Category</t>
  </si>
  <si>
    <t xml:space="preserve">Recurring?</t>
  </si>
  <si>
    <t xml:space="preserve">Page</t>
  </si>
  <si>
    <t xml:space="preserve">Your note</t>
  </si>
  <si>
    <t xml:space="preserve">2026Q2</t>
  </si>
  <si>
    <t xml:space="preserve">Depreciation and amortization of real estate assets</t>
  </si>
  <si>
    <t xml:space="preserve">Real estate depreciation</t>
  </si>
  <si>
    <t xml:space="preserve">Yes</t>
  </si>
  <si>
    <t xml:space="preserve">NAREIT standard add-back</t>
  </si>
  <si>
    <t xml:space="preserve">Property sale gains/losses</t>
  </si>
  <si>
    <t xml:space="preserve">No</t>
  </si>
  <si>
    <t xml:space="preserve">NAREIT standard; sales vary by quarter</t>
  </si>
  <si>
    <t xml:space="preserve">Casualty</t>
  </si>
  <si>
    <t xml:space="preserve">Recovery this quarter; was a charge in Q1 2026</t>
  </si>
  <si>
    <t xml:space="preserve">Rows 2–4 are examples from Q2 2026. Add your rows from row 5 down. Metric and Category have drop-down lists.</t>
  </si>
  <si>
    <t xml:space="preserve">JV depreciation</t>
  </si>
  <si>
    <t xml:space="preserve">Noncontrolling interest</t>
  </si>
  <si>
    <t xml:space="preserve">Consolidation gains</t>
  </si>
  <si>
    <t xml:space="preserve">Derivatives/hedging</t>
  </si>
  <si>
    <t xml:space="preserve">Investment gains/losses</t>
  </si>
  <si>
    <t xml:space="preserve">Legal costs/settlements</t>
  </si>
  <si>
    <t xml:space="preserve">Transaction costs</t>
  </si>
  <si>
    <t xml:space="preserve">Debt extinguishment</t>
  </si>
  <si>
    <t xml:space="preserve">Severance/restructuring</t>
  </si>
  <si>
    <t xml:space="preserve">Recurring capex</t>
  </si>
  <si>
    <t xml:space="preserve">Other</t>
  </si>
</sst>
</file>

<file path=xl/styles.xml><?xml version="1.0" encoding="utf-8"?>
<styleSheet xmlns="http://schemas.openxmlformats.org/spreadsheetml/2006/main">
  <numFmts count="4">
    <numFmt numFmtId="164" formatCode="General"/>
    <numFmt numFmtId="165" formatCode="#,##0;\(#,##0\);\-"/>
    <numFmt numFmtId="166" formatCode="\$0.0000;&quot;($&quot;0.0000\);\-"/>
    <numFmt numFmtId="167" formatCode="\$0.00;&quot;($&quot;0.00\);\-"/>
  </numFmts>
  <fonts count="14">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name val="Arial"/>
      <family val="0"/>
      <charset val="1"/>
    </font>
    <font>
      <sz val="10"/>
      <name val="Arial"/>
      <family val="0"/>
      <charset val="1"/>
    </font>
    <font>
      <b val="true"/>
      <sz val="10"/>
      <name val="Arial"/>
      <family val="0"/>
      <charset val="1"/>
    </font>
    <font>
      <i val="true"/>
      <sz val="9"/>
      <name val="Arial"/>
      <family val="0"/>
      <charset val="1"/>
    </font>
    <font>
      <b val="true"/>
      <sz val="13"/>
      <name val="Arial"/>
      <family val="0"/>
      <charset val="1"/>
    </font>
    <font>
      <b val="true"/>
      <sz val="10"/>
      <color rgb="FFFFFFFF"/>
      <name val="Arial"/>
      <family val="0"/>
      <charset val="1"/>
    </font>
    <font>
      <sz val="10"/>
      <color rgb="FF0000FF"/>
      <name val="Arial"/>
      <family val="0"/>
      <charset val="1"/>
    </font>
    <font>
      <i val="true"/>
      <sz val="10"/>
      <color rgb="FF555555"/>
      <name val="Arial"/>
      <family val="0"/>
      <charset val="1"/>
    </font>
    <font>
      <sz val="10"/>
      <name val="Arial"/>
      <family val="2"/>
    </font>
  </fonts>
  <fills count="5">
    <fill>
      <patternFill patternType="none"/>
    </fill>
    <fill>
      <patternFill patternType="gray125"/>
    </fill>
    <fill>
      <patternFill patternType="solid">
        <fgColor rgb="FF1E3C6E"/>
        <bgColor rgb="FF333399"/>
      </patternFill>
    </fill>
    <fill>
      <patternFill patternType="solid">
        <fgColor rgb="FFFFFF00"/>
        <bgColor rgb="FFFFFF00"/>
      </patternFill>
    </fill>
    <fill>
      <patternFill patternType="solid">
        <fgColor rgb="FFE8ECF2"/>
        <bgColor rgb="FFFFFFFF"/>
      </patternFill>
    </fill>
  </fills>
  <borders count="2">
    <border diagonalUp="false" diagonalDown="false">
      <left/>
      <right/>
      <top/>
      <bottom/>
      <diagonal/>
    </border>
    <border diagonalUp="false" diagonalDown="false">
      <left/>
      <right/>
      <top style="thin">
        <color rgb="FF999999"/>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left" vertical="bottom" textRotation="0" wrapText="false" indent="0" shrinkToFit="false"/>
      <protection locked="true" hidden="false"/>
    </xf>
    <xf numFmtId="164" fontId="10"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1" fillId="3" borderId="0" xfId="0" applyFont="true" applyBorder="false" applyAlignment="true" applyProtection="false">
      <alignment horizontal="center"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5" fontId="11"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7" fontId="11"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Arial"/>
        <charset val="1"/>
        <family val="0"/>
        <b val="1"/>
        <color rgb="FF006100"/>
      </font>
      <fill>
        <patternFill>
          <bgColor rgb="FFC6EFCE"/>
        </patternFill>
      </fill>
    </dxf>
    <dxf>
      <font>
        <name val="Arial"/>
        <charset val="1"/>
        <family val="0"/>
        <b val="1"/>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993366"/>
      <rgbColor rgb="FFFFFFCC"/>
      <rgbColor rgb="FFE8EC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555555"/>
      <rgbColor rgb="FF999999"/>
      <rgbColor rgb="FF1E3C6E"/>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4" t="s">
        <v>2</v>
      </c>
    </row>
    <row r="5" customFormat="false" ht="23.85" hidden="false" customHeight="false" outlineLevel="0" collapsed="false">
      <c r="A5" s="3" t="s">
        <v>3</v>
      </c>
    </row>
    <row r="6" customFormat="false" ht="15" hidden="false" customHeight="false" outlineLevel="0" collapsed="false">
      <c r="A6" s="3"/>
    </row>
    <row r="7" customFormat="false" ht="15" hidden="false" customHeight="false" outlineLevel="0" collapsed="false">
      <c r="A7" s="4" t="s">
        <v>4</v>
      </c>
    </row>
    <row r="8" customFormat="false" ht="15" hidden="false" customHeight="false" outlineLevel="0" collapsed="false">
      <c r="A8" s="3" t="s">
        <v>5</v>
      </c>
    </row>
    <row r="9" customFormat="false" ht="15" hidden="false" customHeight="false" outlineLevel="0" collapsed="false">
      <c r="A9" s="3" t="s">
        <v>6</v>
      </c>
    </row>
    <row r="10" customFormat="false" ht="15" hidden="false" customHeight="false" outlineLevel="0" collapsed="false">
      <c r="A10" s="3" t="s">
        <v>7</v>
      </c>
    </row>
    <row r="11" customFormat="false" ht="15" hidden="false" customHeight="false" outlineLevel="0" collapsed="false">
      <c r="A11" s="3"/>
    </row>
    <row r="12" customFormat="false" ht="15" hidden="false" customHeight="false" outlineLevel="0" collapsed="false">
      <c r="A12" s="4" t="s">
        <v>8</v>
      </c>
    </row>
    <row r="13" customFormat="false" ht="23.85" hidden="false" customHeight="false" outlineLevel="0" collapsed="false">
      <c r="A13" s="3" t="s">
        <v>9</v>
      </c>
    </row>
    <row r="14" customFormat="false" ht="15" hidden="false" customHeight="false" outlineLevel="0" collapsed="false">
      <c r="A14" s="3" t="s">
        <v>10</v>
      </c>
    </row>
    <row r="15" customFormat="false" ht="15" hidden="false" customHeight="false" outlineLevel="0" collapsed="false">
      <c r="A15" s="3" t="s">
        <v>11</v>
      </c>
    </row>
    <row r="16" customFormat="false" ht="15" hidden="false" customHeight="false" outlineLevel="0" collapsed="false">
      <c r="A16" s="3" t="s">
        <v>12</v>
      </c>
    </row>
    <row r="17" customFormat="false" ht="23.85" hidden="false" customHeight="false" outlineLevel="0" collapsed="false">
      <c r="A17" s="3" t="s">
        <v>13</v>
      </c>
    </row>
    <row r="18" customFormat="false" ht="23.85" hidden="false" customHeight="false" outlineLevel="0" collapsed="false">
      <c r="A18" s="3" t="s">
        <v>14</v>
      </c>
    </row>
    <row r="19" customFormat="false" ht="15" hidden="false" customHeight="false" outlineLevel="0" collapsed="false">
      <c r="A19" s="3"/>
    </row>
    <row r="20" customFormat="false" ht="15" hidden="false" customHeight="false" outlineLevel="0" collapsed="false">
      <c r="A20" s="4" t="s">
        <v>15</v>
      </c>
    </row>
    <row r="21" customFormat="false" ht="23.85" hidden="false" customHeight="false" outlineLevel="0" collapsed="false">
      <c r="A21" s="3" t="s">
        <v>16</v>
      </c>
    </row>
    <row r="22" customFormat="false" ht="15" hidden="false" customHeight="false" outlineLevel="0" collapsed="false">
      <c r="A22" s="3" t="s">
        <v>17</v>
      </c>
    </row>
    <row r="23" customFormat="false" ht="15" hidden="false" customHeight="false" outlineLevel="0" collapsed="false">
      <c r="A23" s="3" t="s">
        <v>18</v>
      </c>
    </row>
    <row r="24" customFormat="false" ht="15" hidden="false" customHeight="false" outlineLevel="0" collapsed="false">
      <c r="A24" s="3"/>
    </row>
    <row r="25" customFormat="false" ht="22.35" hidden="false" customHeight="false" outlineLevel="0" collapsed="false">
      <c r="A25" s="5"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4" min="2" style="0" width="14"/>
    <col collapsed="false" customWidth="true" hidden="false" outlineLevel="0" max="5" min="5" style="0" width="3"/>
    <col collapsed="false" customWidth="true" hidden="false" outlineLevel="0" max="6" min="6" style="0" width="12"/>
    <col collapsed="false" customWidth="true" hidden="false" outlineLevel="0" max="7" min="7" style="0" width="48"/>
  </cols>
  <sheetData>
    <row r="1" customFormat="false" ht="16.15" hidden="false" customHeight="false" outlineLevel="0" collapsed="false">
      <c r="A1" s="6" t="s">
        <v>20</v>
      </c>
    </row>
    <row r="2" customFormat="false" ht="15" hidden="false" customHeight="false" outlineLevel="0" collapsed="false">
      <c r="A2" s="7" t="s">
        <v>21</v>
      </c>
    </row>
    <row r="4" customFormat="false" ht="15" hidden="false" customHeight="false" outlineLevel="0" collapsed="false">
      <c r="A4" s="8" t="s">
        <v>22</v>
      </c>
      <c r="B4" s="9" t="s">
        <v>23</v>
      </c>
      <c r="C4" s="9" t="s">
        <v>24</v>
      </c>
      <c r="D4" s="9" t="s">
        <v>25</v>
      </c>
      <c r="E4" s="8"/>
      <c r="F4" s="9" t="s">
        <v>26</v>
      </c>
      <c r="G4" s="8" t="s">
        <v>27</v>
      </c>
    </row>
    <row r="5" customFormat="false" ht="15" hidden="false" customHeight="false" outlineLevel="0" collapsed="false">
      <c r="A5" s="10" t="s">
        <v>28</v>
      </c>
      <c r="B5" s="11"/>
      <c r="C5" s="11"/>
      <c r="D5" s="11" t="n">
        <v>10</v>
      </c>
    </row>
    <row r="7" customFormat="false" ht="15" hidden="false" customHeight="false" outlineLevel="0" collapsed="false">
      <c r="A7" s="12" t="s">
        <v>29</v>
      </c>
      <c r="B7" s="13"/>
      <c r="C7" s="13"/>
      <c r="D7" s="13"/>
      <c r="E7" s="13"/>
      <c r="F7" s="13"/>
      <c r="G7" s="13"/>
    </row>
    <row r="8" customFormat="false" ht="15" hidden="false" customHeight="false" outlineLevel="0" collapsed="false">
      <c r="A8" s="10" t="s">
        <v>30</v>
      </c>
      <c r="B8" s="14"/>
      <c r="C8" s="14"/>
      <c r="D8" s="14" t="n">
        <v>120828</v>
      </c>
      <c r="F8" s="15" t="s">
        <v>31</v>
      </c>
      <c r="G8" s="16" t="s">
        <v>32</v>
      </c>
    </row>
    <row r="9" customFormat="false" ht="15" hidden="false" customHeight="false" outlineLevel="0" collapsed="false">
      <c r="A9" s="10" t="s">
        <v>33</v>
      </c>
      <c r="B9" s="14"/>
      <c r="C9" s="14"/>
      <c r="D9" s="14" t="n">
        <v>161037</v>
      </c>
      <c r="F9" s="15" t="s">
        <v>31</v>
      </c>
      <c r="G9" s="16" t="s">
        <v>34</v>
      </c>
    </row>
    <row r="10" customFormat="false" ht="15" hidden="false" customHeight="false" outlineLevel="0" collapsed="false">
      <c r="A10" s="10" t="s">
        <v>35</v>
      </c>
      <c r="B10" s="14"/>
      <c r="C10" s="14"/>
      <c r="D10" s="14" t="n">
        <v>-35255</v>
      </c>
      <c r="F10" s="15" t="s">
        <v>31</v>
      </c>
      <c r="G10" s="16" t="s">
        <v>36</v>
      </c>
    </row>
    <row r="11" customFormat="false" ht="15" hidden="false" customHeight="false" outlineLevel="0" collapsed="false">
      <c r="A11" s="10" t="s">
        <v>37</v>
      </c>
      <c r="B11" s="14"/>
      <c r="C11" s="14"/>
      <c r="D11" s="14" t="n">
        <v>168</v>
      </c>
      <c r="F11" s="15" t="s">
        <v>31</v>
      </c>
      <c r="G11" s="16" t="s">
        <v>38</v>
      </c>
    </row>
    <row r="12" customFormat="false" ht="15" hidden="false" customHeight="false" outlineLevel="0" collapsed="false">
      <c r="A12" s="10" t="s">
        <v>39</v>
      </c>
      <c r="B12" s="14"/>
      <c r="C12" s="14"/>
      <c r="D12" s="14" t="n">
        <v>0</v>
      </c>
      <c r="F12" s="15" t="s">
        <v>31</v>
      </c>
      <c r="G12" s="16" t="s">
        <v>40</v>
      </c>
    </row>
    <row r="13" customFormat="false" ht="15" hidden="false" customHeight="false" outlineLevel="0" collapsed="false">
      <c r="A13" s="10" t="s">
        <v>41</v>
      </c>
      <c r="B13" s="14"/>
      <c r="C13" s="14"/>
      <c r="D13" s="14" t="n">
        <v>3068</v>
      </c>
      <c r="F13" s="15" t="s">
        <v>31</v>
      </c>
      <c r="G13" s="16" t="s">
        <v>42</v>
      </c>
    </row>
    <row r="14" customFormat="false" ht="15" hidden="false" customHeight="false" outlineLevel="0" collapsed="false">
      <c r="A14" s="10" t="s">
        <v>43</v>
      </c>
      <c r="B14" s="14"/>
      <c r="C14" s="14"/>
      <c r="D14" s="14" t="n">
        <v>0</v>
      </c>
      <c r="F14" s="15" t="s">
        <v>31</v>
      </c>
      <c r="G14" s="16"/>
    </row>
    <row r="15" customFormat="false" ht="15" hidden="false" customHeight="false" outlineLevel="0" collapsed="false">
      <c r="A15" s="17" t="s">
        <v>44</v>
      </c>
      <c r="B15" s="18" t="n">
        <f aca="false">SUM(B8:B14)</f>
        <v>0</v>
      </c>
      <c r="C15" s="18" t="n">
        <f aca="false">SUM(C8:C14)</f>
        <v>0</v>
      </c>
      <c r="D15" s="18" t="n">
        <f aca="false">SUM(D8:D14)</f>
        <v>249846</v>
      </c>
      <c r="F15" s="15" t="s">
        <v>31</v>
      </c>
      <c r="G15" s="16"/>
    </row>
    <row r="17" customFormat="false" ht="15" hidden="false" customHeight="false" outlineLevel="0" collapsed="false">
      <c r="A17" s="12" t="s">
        <v>45</v>
      </c>
      <c r="B17" s="13"/>
      <c r="C17" s="13"/>
      <c r="D17" s="13"/>
      <c r="E17" s="13"/>
      <c r="F17" s="13"/>
      <c r="G17" s="13"/>
    </row>
    <row r="18" customFormat="false" ht="15" hidden="false" customHeight="false" outlineLevel="0" collapsed="false">
      <c r="A18" s="10" t="s">
        <v>46</v>
      </c>
      <c r="B18" s="14"/>
      <c r="C18" s="14"/>
      <c r="D18" s="14" t="n">
        <v>-1091</v>
      </c>
      <c r="F18" s="15" t="s">
        <v>47</v>
      </c>
      <c r="G18" s="16"/>
    </row>
    <row r="19" customFormat="false" ht="15" hidden="false" customHeight="false" outlineLevel="0" collapsed="false">
      <c r="A19" s="10" t="s">
        <v>48</v>
      </c>
      <c r="B19" s="14"/>
      <c r="C19" s="14"/>
      <c r="D19" s="14" t="n">
        <v>1068</v>
      </c>
      <c r="F19" s="15" t="s">
        <v>47</v>
      </c>
      <c r="G19" s="16"/>
    </row>
    <row r="20" customFormat="false" ht="15" hidden="false" customHeight="false" outlineLevel="0" collapsed="false">
      <c r="A20" s="10" t="s">
        <v>49</v>
      </c>
      <c r="B20" s="14"/>
      <c r="C20" s="14"/>
      <c r="D20" s="14" t="n">
        <v>-2299</v>
      </c>
      <c r="F20" s="15" t="s">
        <v>47</v>
      </c>
      <c r="G20" s="16" t="s">
        <v>50</v>
      </c>
    </row>
    <row r="21" customFormat="false" ht="15" hidden="false" customHeight="false" outlineLevel="0" collapsed="false">
      <c r="A21" s="10" t="s">
        <v>51</v>
      </c>
      <c r="B21" s="14"/>
      <c r="C21" s="14"/>
      <c r="D21" s="14" t="n">
        <v>0</v>
      </c>
      <c r="F21" s="15" t="s">
        <v>47</v>
      </c>
      <c r="G21" s="16" t="s">
        <v>52</v>
      </c>
    </row>
    <row r="22" customFormat="false" ht="15" hidden="false" customHeight="false" outlineLevel="0" collapsed="false">
      <c r="A22" s="10" t="s">
        <v>53</v>
      </c>
      <c r="B22" s="14"/>
      <c r="C22" s="14"/>
      <c r="D22" s="14" t="n">
        <v>0</v>
      </c>
      <c r="F22" s="15" t="s">
        <v>47</v>
      </c>
      <c r="G22" s="16"/>
    </row>
    <row r="23" customFormat="false" ht="15" hidden="false" customHeight="false" outlineLevel="0" collapsed="false">
      <c r="A23" s="17" t="s">
        <v>54</v>
      </c>
      <c r="B23" s="18" t="n">
        <f aca="false">B15+SUM(B18:B22)</f>
        <v>0</v>
      </c>
      <c r="C23" s="18" t="n">
        <f aca="false">C15+SUM(C18:C22)</f>
        <v>0</v>
      </c>
      <c r="D23" s="18" t="n">
        <f aca="false">D15+SUM(D18:D22)</f>
        <v>247524</v>
      </c>
      <c r="F23" s="15" t="s">
        <v>47</v>
      </c>
      <c r="G23" s="16"/>
    </row>
    <row r="25" customFormat="false" ht="15" hidden="false" customHeight="false" outlineLevel="0" collapsed="false">
      <c r="A25" s="12" t="s">
        <v>55</v>
      </c>
      <c r="B25" s="13"/>
      <c r="C25" s="13"/>
      <c r="D25" s="13"/>
      <c r="E25" s="13"/>
      <c r="F25" s="13"/>
      <c r="G25" s="13"/>
    </row>
    <row r="26" customFormat="false" ht="15" hidden="false" customHeight="false" outlineLevel="0" collapsed="false">
      <c r="A26" s="10" t="s">
        <v>56</v>
      </c>
      <c r="B26" s="14"/>
      <c r="C26" s="14"/>
      <c r="D26" s="14" t="n">
        <v>-37242</v>
      </c>
      <c r="F26" s="15" t="s">
        <v>57</v>
      </c>
      <c r="G26" s="16" t="s">
        <v>58</v>
      </c>
    </row>
    <row r="27" customFormat="false" ht="15" hidden="false" customHeight="false" outlineLevel="0" collapsed="false">
      <c r="A27" s="17" t="s">
        <v>59</v>
      </c>
      <c r="B27" s="18" t="n">
        <f aca="false">B23+B26</f>
        <v>0</v>
      </c>
      <c r="C27" s="18" t="n">
        <f aca="false">C23+C26</f>
        <v>0</v>
      </c>
      <c r="D27" s="18" t="n">
        <f aca="false">D23+D26</f>
        <v>210282</v>
      </c>
      <c r="F27" s="15" t="s">
        <v>57</v>
      </c>
      <c r="G27" s="16"/>
    </row>
    <row r="29" customFormat="false" ht="15" hidden="false" customHeight="false" outlineLevel="0" collapsed="false">
      <c r="A29" s="12" t="s">
        <v>60</v>
      </c>
      <c r="B29" s="13"/>
      <c r="C29" s="13"/>
      <c r="D29" s="13"/>
      <c r="E29" s="13"/>
      <c r="F29" s="13"/>
      <c r="G29" s="13"/>
    </row>
    <row r="30" customFormat="false" ht="15" hidden="false" customHeight="false" outlineLevel="0" collapsed="false">
      <c r="A30" s="10" t="s">
        <v>61</v>
      </c>
      <c r="B30" s="14"/>
      <c r="C30" s="14"/>
      <c r="D30" s="14" t="n">
        <v>119094</v>
      </c>
      <c r="F30" s="15"/>
      <c r="G30" s="16" t="s">
        <v>62</v>
      </c>
    </row>
    <row r="31" customFormat="false" ht="15" hidden="false" customHeight="false" outlineLevel="0" collapsed="false">
      <c r="A31" s="17" t="s">
        <v>63</v>
      </c>
      <c r="B31" s="19" t="str">
        <f aca="false">IF(B30&gt;0,B15/B30,"")</f>
        <v/>
      </c>
      <c r="C31" s="19" t="str">
        <f aca="false">IF(C30&gt;0,C15/C30,"")</f>
        <v/>
      </c>
      <c r="D31" s="19" t="n">
        <f aca="false">IF(D30&gt;0,D15/D30,"")</f>
        <v>2.09788906242128</v>
      </c>
      <c r="F31" s="15"/>
      <c r="G31" s="16"/>
    </row>
    <row r="32" customFormat="false" ht="15" hidden="false" customHeight="false" outlineLevel="0" collapsed="false">
      <c r="A32" s="17" t="s">
        <v>64</v>
      </c>
      <c r="B32" s="19" t="str">
        <f aca="false">IF(B30&gt;0,B23/B30,"")</f>
        <v/>
      </c>
      <c r="C32" s="19" t="str">
        <f aca="false">IF(C30&gt;0,C23/C30,"")</f>
        <v/>
      </c>
      <c r="D32" s="19" t="n">
        <f aca="false">IF(D30&gt;0,D23/D30,"")</f>
        <v>2.07839185853192</v>
      </c>
      <c r="F32" s="15"/>
      <c r="G32" s="16"/>
    </row>
    <row r="33" customFormat="false" ht="15" hidden="false" customHeight="false" outlineLevel="0" collapsed="false">
      <c r="A33" s="17" t="s">
        <v>65</v>
      </c>
      <c r="B33" s="19" t="str">
        <f aca="false">IF(B30&gt;0,B27/B30,"")</f>
        <v/>
      </c>
      <c r="C33" s="19" t="str">
        <f aca="false">IF(C30&gt;0,C27/C30,"")</f>
        <v/>
      </c>
      <c r="D33" s="19" t="n">
        <f aca="false">IF(D30&gt;0,D27/D30,"")</f>
        <v>1.76568089072497</v>
      </c>
      <c r="F33" s="15"/>
      <c r="G33" s="16"/>
    </row>
    <row r="35" customFormat="false" ht="15" hidden="false" customHeight="false" outlineLevel="0" collapsed="false">
      <c r="A35" s="12" t="s">
        <v>66</v>
      </c>
      <c r="B35" s="13"/>
      <c r="C35" s="13"/>
      <c r="D35" s="13"/>
      <c r="E35" s="13"/>
      <c r="F35" s="13"/>
      <c r="G35" s="13"/>
    </row>
    <row r="36" customFormat="false" ht="15" hidden="false" customHeight="false" outlineLevel="0" collapsed="false">
      <c r="A36" s="10" t="s">
        <v>67</v>
      </c>
      <c r="B36" s="14"/>
      <c r="C36" s="14"/>
      <c r="D36" s="14" t="n">
        <v>249846</v>
      </c>
      <c r="F36" s="15"/>
      <c r="G36" s="16"/>
    </row>
    <row r="37" customFormat="false" ht="15" hidden="false" customHeight="false" outlineLevel="0" collapsed="false">
      <c r="A37" s="10" t="s">
        <v>68</v>
      </c>
      <c r="B37" s="14"/>
      <c r="C37" s="14"/>
      <c r="D37" s="14" t="n">
        <v>247524</v>
      </c>
      <c r="F37" s="15"/>
      <c r="G37" s="16"/>
    </row>
    <row r="38" customFormat="false" ht="15" hidden="false" customHeight="false" outlineLevel="0" collapsed="false">
      <c r="A38" s="10" t="s">
        <v>69</v>
      </c>
      <c r="B38" s="14"/>
      <c r="C38" s="14"/>
      <c r="D38" s="14" t="n">
        <v>210282</v>
      </c>
      <c r="F38" s="15"/>
      <c r="G38" s="16"/>
    </row>
    <row r="39" customFormat="false" ht="15" hidden="false" customHeight="false" outlineLevel="0" collapsed="false">
      <c r="A39" s="10" t="s">
        <v>70</v>
      </c>
      <c r="B39" s="20"/>
      <c r="C39" s="20"/>
      <c r="D39" s="20" t="n">
        <v>2.1</v>
      </c>
      <c r="F39" s="15"/>
      <c r="G39" s="16"/>
    </row>
    <row r="40" customFormat="false" ht="15" hidden="false" customHeight="false" outlineLevel="0" collapsed="false">
      <c r="A40" s="10" t="s">
        <v>71</v>
      </c>
      <c r="B40" s="20"/>
      <c r="C40" s="20"/>
      <c r="D40" s="20" t="n">
        <v>2.08</v>
      </c>
      <c r="F40" s="15"/>
      <c r="G40" s="16"/>
    </row>
    <row r="41" customFormat="false" ht="15" hidden="false" customHeight="false" outlineLevel="0" collapsed="false">
      <c r="A41" s="10" t="s">
        <v>72</v>
      </c>
      <c r="B41" s="20"/>
      <c r="C41" s="20"/>
      <c r="D41" s="20" t="n">
        <v>1.77</v>
      </c>
      <c r="F41" s="15"/>
      <c r="G41" s="16"/>
    </row>
    <row r="43" customFormat="false" ht="15" hidden="false" customHeight="false" outlineLevel="0" collapsed="false">
      <c r="A43" s="10" t="s">
        <v>73</v>
      </c>
      <c r="B43" s="21" t="str">
        <f aca="false">IF(B36="","",IF(ABS(B15-B36)&lt;0.5,"OK","CHECK"))</f>
        <v/>
      </c>
      <c r="C43" s="21" t="str">
        <f aca="false">IF(C36="","",IF(ABS(C15-C36)&lt;0.5,"OK","CHECK"))</f>
        <v/>
      </c>
      <c r="D43" s="21" t="str">
        <f aca="false">IF(D36="","",IF(ABS(D15-D36)&lt;0.5,"OK","CHECK"))</f>
        <v>OK</v>
      </c>
      <c r="F43" s="15"/>
      <c r="G43" s="16"/>
    </row>
    <row r="44" customFormat="false" ht="15" hidden="false" customHeight="false" outlineLevel="0" collapsed="false">
      <c r="A44" s="10" t="s">
        <v>74</v>
      </c>
      <c r="B44" s="21" t="str">
        <f aca="false">IF(B37="","",IF(ABS(B23-B37)&lt;0.5,"OK","CHECK"))</f>
        <v/>
      </c>
      <c r="C44" s="21" t="str">
        <f aca="false">IF(C37="","",IF(ABS(C23-C37)&lt;0.5,"OK","CHECK"))</f>
        <v/>
      </c>
      <c r="D44" s="21" t="str">
        <f aca="false">IF(D37="","",IF(ABS(D23-D37)&lt;0.5,"OK","CHECK"))</f>
        <v>OK</v>
      </c>
      <c r="F44" s="15"/>
      <c r="G44" s="16"/>
    </row>
    <row r="45" customFormat="false" ht="15" hidden="false" customHeight="false" outlineLevel="0" collapsed="false">
      <c r="A45" s="10" t="s">
        <v>75</v>
      </c>
      <c r="B45" s="21" t="str">
        <f aca="false">IF(B38="","",IF(ABS(B27-B38)&lt;0.5,"OK","CHECK"))</f>
        <v/>
      </c>
      <c r="C45" s="21" t="str">
        <f aca="false">IF(C38="","",IF(ABS(C27-C38)&lt;0.5,"OK","CHECK"))</f>
        <v/>
      </c>
      <c r="D45" s="21" t="str">
        <f aca="false">IF(D38="","",IF(ABS(D27-D38)&lt;0.5,"OK","CHECK"))</f>
        <v>OK</v>
      </c>
      <c r="F45" s="15"/>
      <c r="G45" s="16"/>
    </row>
    <row r="46" customFormat="false" ht="15" hidden="false" customHeight="false" outlineLevel="0" collapsed="false">
      <c r="A46" s="10" t="s">
        <v>76</v>
      </c>
      <c r="B46" s="21" t="str">
        <f aca="false">IF(B39="","",IF(ABS(ROUND(B31,2)-B39)&lt;0.005,"OK","CHECK"))</f>
        <v/>
      </c>
      <c r="C46" s="21" t="str">
        <f aca="false">IF(C39="","",IF(ABS(ROUND(C31,2)-C39)&lt;0.005,"OK","CHECK"))</f>
        <v/>
      </c>
      <c r="D46" s="21" t="str">
        <f aca="false">IF(D39="","",IF(ABS(ROUND(D31,2)-D39)&lt;0.005,"OK","CHECK"))</f>
        <v>OK</v>
      </c>
      <c r="F46" s="15"/>
      <c r="G46" s="16"/>
    </row>
    <row r="47" customFormat="false" ht="15" hidden="false" customHeight="false" outlineLevel="0" collapsed="false">
      <c r="A47" s="10" t="s">
        <v>77</v>
      </c>
      <c r="B47" s="21" t="str">
        <f aca="false">IF(B40="","",IF(ABS(ROUND(B32,2)-B40)&lt;0.005,"OK","CHECK"))</f>
        <v/>
      </c>
      <c r="C47" s="21" t="str">
        <f aca="false">IF(C40="","",IF(ABS(ROUND(C32,2)-C40)&lt;0.005,"OK","CHECK"))</f>
        <v/>
      </c>
      <c r="D47" s="21" t="str">
        <f aca="false">IF(D40="","",IF(ABS(ROUND(D32,2)-D40)&lt;0.005,"OK","CHECK"))</f>
        <v>OK</v>
      </c>
      <c r="F47" s="15"/>
      <c r="G47" s="16"/>
    </row>
    <row r="48" customFormat="false" ht="15" hidden="false" customHeight="false" outlineLevel="0" collapsed="false">
      <c r="A48" s="10" t="s">
        <v>78</v>
      </c>
      <c r="B48" s="21" t="str">
        <f aca="false">IF(B41="","",IF(ABS(ROUND(B33,2)-B41)&lt;0.005,"OK","CHECK"))</f>
        <v/>
      </c>
      <c r="C48" s="21" t="str">
        <f aca="false">IF(C41="","",IF(ABS(ROUND(C33,2)-C41)&lt;0.005,"OK","CHECK"))</f>
        <v/>
      </c>
      <c r="D48" s="21" t="str">
        <f aca="false">IF(D41="","",IF(ABS(ROUND(D33,2)-D41)&lt;0.005,"OK","CHECK"))</f>
        <v>OK</v>
      </c>
      <c r="F48" s="15"/>
      <c r="G48" s="16"/>
    </row>
  </sheetData>
  <conditionalFormatting sqref="B43:D48">
    <cfRule type="cellIs" priority="2" operator="equal" aboveAverage="0" equalAverage="0" bottom="0" percent="0" rank="0" text="" dxfId="0">
      <formula>"OK"</formula>
    </cfRule>
    <cfRule type="cellIs" priority="3" operator="equal" aboveAverage="0" equalAverage="0" bottom="0" percent="0" rank="0" text="" dxfId="1">
      <formula>"CHECK"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50"/>
    <col collapsed="false" customWidth="true" hidden="false" outlineLevel="0" max="3" min="3" style="0" width="14"/>
    <col collapsed="false" customWidth="true" hidden="false" outlineLevel="0" max="4" min="4" style="0" width="11"/>
    <col collapsed="false" customWidth="true" hidden="false" outlineLevel="0" max="5" min="5" style="0" width="28"/>
    <col collapsed="false" customWidth="true" hidden="false" outlineLevel="0" max="6" min="6" style="0" width="11"/>
    <col collapsed="false" customWidth="true" hidden="false" outlineLevel="0" max="7" min="7" style="0" width="7"/>
    <col collapsed="false" customWidth="true" hidden="false" outlineLevel="0" max="8" min="8" style="0" width="50"/>
  </cols>
  <sheetData>
    <row r="1" customFormat="false" ht="15" hidden="false" customHeight="false" outlineLevel="0" collapsed="false">
      <c r="A1" s="22" t="s">
        <v>79</v>
      </c>
      <c r="B1" s="22" t="s">
        <v>80</v>
      </c>
      <c r="C1" s="22" t="s">
        <v>81</v>
      </c>
      <c r="D1" s="22" t="s">
        <v>26</v>
      </c>
      <c r="E1" s="22" t="s">
        <v>82</v>
      </c>
      <c r="F1" s="22" t="s">
        <v>83</v>
      </c>
      <c r="G1" s="22" t="s">
        <v>84</v>
      </c>
      <c r="H1" s="22" t="s">
        <v>85</v>
      </c>
    </row>
    <row r="2" customFormat="false" ht="15" hidden="false" customHeight="false" outlineLevel="0" collapsed="false">
      <c r="A2" s="23" t="s">
        <v>86</v>
      </c>
      <c r="B2" s="23" t="s">
        <v>87</v>
      </c>
      <c r="C2" s="24" t="n">
        <v>161037</v>
      </c>
      <c r="D2" s="23" t="s">
        <v>31</v>
      </c>
      <c r="E2" s="23" t="s">
        <v>88</v>
      </c>
      <c r="F2" s="23" t="s">
        <v>89</v>
      </c>
      <c r="G2" s="23" t="n">
        <v>10</v>
      </c>
      <c r="H2" s="23" t="s">
        <v>90</v>
      </c>
    </row>
    <row r="3" customFormat="false" ht="15" hidden="false" customHeight="false" outlineLevel="0" collapsed="false">
      <c r="A3" s="23" t="s">
        <v>86</v>
      </c>
      <c r="B3" s="23" t="s">
        <v>35</v>
      </c>
      <c r="C3" s="24" t="n">
        <v>-35255</v>
      </c>
      <c r="D3" s="23" t="s">
        <v>31</v>
      </c>
      <c r="E3" s="23" t="s">
        <v>91</v>
      </c>
      <c r="F3" s="23" t="s">
        <v>92</v>
      </c>
      <c r="G3" s="23" t="n">
        <v>10</v>
      </c>
      <c r="H3" s="23" t="s">
        <v>93</v>
      </c>
    </row>
    <row r="4" customFormat="false" ht="15" hidden="false" customHeight="false" outlineLevel="0" collapsed="false">
      <c r="A4" s="23" t="s">
        <v>86</v>
      </c>
      <c r="B4" s="23" t="s">
        <v>49</v>
      </c>
      <c r="C4" s="24" t="n">
        <v>-2299</v>
      </c>
      <c r="D4" s="23" t="s">
        <v>47</v>
      </c>
      <c r="E4" s="23" t="s">
        <v>94</v>
      </c>
      <c r="F4" s="23" t="s">
        <v>92</v>
      </c>
      <c r="G4" s="23" t="n">
        <v>10</v>
      </c>
      <c r="H4" s="23" t="s">
        <v>95</v>
      </c>
    </row>
    <row r="5" customFormat="false" ht="15" hidden="false" customHeight="false" outlineLevel="0" collapsed="false">
      <c r="A5" s="25"/>
      <c r="B5" s="25"/>
      <c r="C5" s="14"/>
      <c r="D5" s="25"/>
      <c r="E5" s="25"/>
      <c r="F5" s="25"/>
      <c r="G5" s="25"/>
      <c r="H5" s="25"/>
    </row>
    <row r="6" customFormat="false" ht="15" hidden="false" customHeight="false" outlineLevel="0" collapsed="false">
      <c r="A6" s="25"/>
      <c r="B6" s="25"/>
      <c r="C6" s="14"/>
      <c r="D6" s="25"/>
      <c r="E6" s="25"/>
      <c r="F6" s="25"/>
      <c r="G6" s="25"/>
      <c r="H6" s="25"/>
    </row>
    <row r="7" customFormat="false" ht="15" hidden="false" customHeight="false" outlineLevel="0" collapsed="false">
      <c r="A7" s="25"/>
      <c r="B7" s="25"/>
      <c r="C7" s="14"/>
      <c r="D7" s="25"/>
      <c r="E7" s="25"/>
      <c r="F7" s="25"/>
      <c r="G7" s="25"/>
      <c r="H7" s="25"/>
    </row>
    <row r="8" customFormat="false" ht="15" hidden="false" customHeight="false" outlineLevel="0" collapsed="false">
      <c r="A8" s="25"/>
      <c r="B8" s="25"/>
      <c r="C8" s="14"/>
      <c r="D8" s="25"/>
      <c r="E8" s="25"/>
      <c r="F8" s="25"/>
      <c r="G8" s="25"/>
      <c r="H8" s="25"/>
    </row>
    <row r="9" customFormat="false" ht="15" hidden="false" customHeight="false" outlineLevel="0" collapsed="false">
      <c r="A9" s="25"/>
      <c r="B9" s="25"/>
      <c r="C9" s="14"/>
      <c r="D9" s="25"/>
      <c r="E9" s="25"/>
      <c r="F9" s="25"/>
      <c r="G9" s="25"/>
      <c r="H9" s="25"/>
    </row>
    <row r="10" customFormat="false" ht="15" hidden="false" customHeight="false" outlineLevel="0" collapsed="false">
      <c r="A10" s="25"/>
      <c r="B10" s="25"/>
      <c r="C10" s="14"/>
      <c r="D10" s="25"/>
      <c r="E10" s="25"/>
      <c r="F10" s="25"/>
      <c r="G10" s="25"/>
      <c r="H10" s="25"/>
    </row>
    <row r="11" customFormat="false" ht="15" hidden="false" customHeight="false" outlineLevel="0" collapsed="false">
      <c r="A11" s="25"/>
      <c r="B11" s="25"/>
      <c r="C11" s="14"/>
      <c r="D11" s="25"/>
      <c r="E11" s="25"/>
      <c r="F11" s="25"/>
      <c r="G11" s="25"/>
      <c r="H11" s="25"/>
    </row>
    <row r="12" customFormat="false" ht="15" hidden="false" customHeight="false" outlineLevel="0" collapsed="false">
      <c r="A12" s="25"/>
      <c r="B12" s="25"/>
      <c r="C12" s="14"/>
      <c r="D12" s="25"/>
      <c r="E12" s="25"/>
      <c r="F12" s="25"/>
      <c r="G12" s="25"/>
      <c r="H12" s="25"/>
    </row>
    <row r="13" customFormat="false" ht="15" hidden="false" customHeight="false" outlineLevel="0" collapsed="false">
      <c r="A13" s="25"/>
      <c r="B13" s="25"/>
      <c r="C13" s="14"/>
      <c r="D13" s="25"/>
      <c r="E13" s="25"/>
      <c r="F13" s="25"/>
      <c r="G13" s="25"/>
      <c r="H13" s="25"/>
    </row>
    <row r="14" customFormat="false" ht="15" hidden="false" customHeight="false" outlineLevel="0" collapsed="false">
      <c r="A14" s="25"/>
      <c r="B14" s="25"/>
      <c r="C14" s="14"/>
      <c r="D14" s="25"/>
      <c r="E14" s="25"/>
      <c r="F14" s="25"/>
      <c r="G14" s="25"/>
      <c r="H14" s="25"/>
    </row>
    <row r="15" customFormat="false" ht="15" hidden="false" customHeight="false" outlineLevel="0" collapsed="false">
      <c r="A15" s="25"/>
      <c r="B15" s="25"/>
      <c r="C15" s="14"/>
      <c r="D15" s="25"/>
      <c r="E15" s="25"/>
      <c r="F15" s="25"/>
      <c r="G15" s="25"/>
      <c r="H15" s="25"/>
    </row>
    <row r="16" customFormat="false" ht="15" hidden="false" customHeight="false" outlineLevel="0" collapsed="false">
      <c r="A16" s="25"/>
      <c r="B16" s="25"/>
      <c r="C16" s="14"/>
      <c r="D16" s="25"/>
      <c r="E16" s="25"/>
      <c r="F16" s="25"/>
      <c r="G16" s="25"/>
      <c r="H16" s="25"/>
    </row>
    <row r="17" customFormat="false" ht="15" hidden="false" customHeight="false" outlineLevel="0" collapsed="false">
      <c r="A17" s="25"/>
      <c r="B17" s="25"/>
      <c r="C17" s="14"/>
      <c r="D17" s="25"/>
      <c r="E17" s="25"/>
      <c r="F17" s="25"/>
      <c r="G17" s="25"/>
      <c r="H17" s="25"/>
    </row>
    <row r="18" customFormat="false" ht="15" hidden="false" customHeight="false" outlineLevel="0" collapsed="false">
      <c r="A18" s="25"/>
      <c r="B18" s="25"/>
      <c r="C18" s="14"/>
      <c r="D18" s="25"/>
      <c r="E18" s="25"/>
      <c r="F18" s="25"/>
      <c r="G18" s="25"/>
      <c r="H18" s="25"/>
    </row>
    <row r="19" customFormat="false" ht="15" hidden="false" customHeight="false" outlineLevel="0" collapsed="false">
      <c r="A19" s="25"/>
      <c r="B19" s="25"/>
      <c r="C19" s="14"/>
      <c r="D19" s="25"/>
      <c r="E19" s="25"/>
      <c r="F19" s="25"/>
      <c r="G19" s="25"/>
      <c r="H19" s="25"/>
    </row>
    <row r="20" customFormat="false" ht="15" hidden="false" customHeight="false" outlineLevel="0" collapsed="false">
      <c r="A20" s="25"/>
      <c r="B20" s="25"/>
      <c r="C20" s="14"/>
      <c r="D20" s="25"/>
      <c r="E20" s="25"/>
      <c r="F20" s="25"/>
      <c r="G20" s="25"/>
      <c r="H20" s="25"/>
    </row>
    <row r="21" customFormat="false" ht="15" hidden="false" customHeight="false" outlineLevel="0" collapsed="false">
      <c r="A21" s="25"/>
      <c r="B21" s="25"/>
      <c r="C21" s="14"/>
      <c r="D21" s="25"/>
      <c r="E21" s="25"/>
      <c r="F21" s="25"/>
      <c r="G21" s="25"/>
      <c r="H21" s="25"/>
    </row>
    <row r="22" customFormat="false" ht="15" hidden="false" customHeight="false" outlineLevel="0" collapsed="false">
      <c r="A22" s="25"/>
      <c r="B22" s="25"/>
      <c r="C22" s="14"/>
      <c r="D22" s="25"/>
      <c r="E22" s="25"/>
      <c r="F22" s="25"/>
      <c r="G22" s="25"/>
      <c r="H22" s="25"/>
    </row>
    <row r="23" customFormat="false" ht="15" hidden="false" customHeight="false" outlineLevel="0" collapsed="false">
      <c r="A23" s="25"/>
      <c r="B23" s="25"/>
      <c r="C23" s="14"/>
      <c r="D23" s="25"/>
      <c r="E23" s="25"/>
      <c r="F23" s="25"/>
      <c r="G23" s="25"/>
      <c r="H23" s="25"/>
    </row>
    <row r="24" customFormat="false" ht="15" hidden="false" customHeight="false" outlineLevel="0" collapsed="false">
      <c r="A24" s="25"/>
      <c r="B24" s="25"/>
      <c r="C24" s="14"/>
      <c r="D24" s="25"/>
      <c r="E24" s="25"/>
      <c r="F24" s="25"/>
      <c r="G24" s="25"/>
      <c r="H24" s="25"/>
    </row>
    <row r="25" customFormat="false" ht="15" hidden="false" customHeight="false" outlineLevel="0" collapsed="false">
      <c r="A25" s="25"/>
      <c r="B25" s="25"/>
      <c r="C25" s="14"/>
      <c r="D25" s="25"/>
      <c r="E25" s="25"/>
      <c r="F25" s="25"/>
      <c r="G25" s="25"/>
      <c r="H25" s="25"/>
    </row>
    <row r="26" customFormat="false" ht="15" hidden="false" customHeight="false" outlineLevel="0" collapsed="false">
      <c r="A26" s="25"/>
      <c r="B26" s="25"/>
      <c r="C26" s="14"/>
      <c r="D26" s="25"/>
      <c r="E26" s="25"/>
      <c r="F26" s="25"/>
      <c r="G26" s="25"/>
      <c r="H26" s="25"/>
    </row>
    <row r="27" customFormat="false" ht="15" hidden="false" customHeight="false" outlineLevel="0" collapsed="false">
      <c r="A27" s="25"/>
      <c r="B27" s="25"/>
      <c r="C27" s="14"/>
      <c r="D27" s="25"/>
      <c r="E27" s="25"/>
      <c r="F27" s="25"/>
      <c r="G27" s="25"/>
      <c r="H27" s="25"/>
    </row>
    <row r="28" customFormat="false" ht="15" hidden="false" customHeight="false" outlineLevel="0" collapsed="false">
      <c r="A28" s="25"/>
      <c r="B28" s="25"/>
      <c r="C28" s="14"/>
      <c r="D28" s="25"/>
      <c r="E28" s="25"/>
      <c r="F28" s="25"/>
      <c r="G28" s="25"/>
      <c r="H28" s="25"/>
    </row>
    <row r="29" customFormat="false" ht="15" hidden="false" customHeight="false" outlineLevel="0" collapsed="false">
      <c r="A29" s="25"/>
      <c r="B29" s="25"/>
      <c r="C29" s="14"/>
      <c r="D29" s="25"/>
      <c r="E29" s="25"/>
      <c r="F29" s="25"/>
      <c r="G29" s="25"/>
      <c r="H29" s="25"/>
    </row>
    <row r="30" customFormat="false" ht="15" hidden="false" customHeight="false" outlineLevel="0" collapsed="false">
      <c r="A30" s="25"/>
      <c r="B30" s="25"/>
      <c r="C30" s="14"/>
      <c r="D30" s="25"/>
      <c r="E30" s="25"/>
      <c r="F30" s="25"/>
      <c r="G30" s="25"/>
      <c r="H30" s="25"/>
    </row>
    <row r="31" customFormat="false" ht="15" hidden="false" customHeight="false" outlineLevel="0" collapsed="false">
      <c r="A31" s="25"/>
      <c r="B31" s="25"/>
      <c r="C31" s="14"/>
      <c r="D31" s="25"/>
      <c r="E31" s="25"/>
      <c r="F31" s="25"/>
      <c r="G31" s="25"/>
      <c r="H31" s="25"/>
    </row>
    <row r="32" customFormat="false" ht="15" hidden="false" customHeight="false" outlineLevel="0" collapsed="false">
      <c r="A32" s="25"/>
      <c r="B32" s="25"/>
      <c r="C32" s="14"/>
      <c r="D32" s="25"/>
      <c r="E32" s="25"/>
      <c r="F32" s="25"/>
      <c r="G32" s="25"/>
      <c r="H32" s="25"/>
    </row>
    <row r="33" customFormat="false" ht="15" hidden="false" customHeight="false" outlineLevel="0" collapsed="false">
      <c r="A33" s="25"/>
      <c r="B33" s="25"/>
      <c r="C33" s="14"/>
      <c r="D33" s="25"/>
      <c r="E33" s="25"/>
      <c r="F33" s="25"/>
      <c r="G33" s="25"/>
      <c r="H33" s="25"/>
    </row>
    <row r="34" customFormat="false" ht="15" hidden="false" customHeight="false" outlineLevel="0" collapsed="false">
      <c r="A34" s="25"/>
      <c r="B34" s="25"/>
      <c r="C34" s="14"/>
      <c r="D34" s="25"/>
      <c r="E34" s="25"/>
      <c r="F34" s="25"/>
      <c r="G34" s="25"/>
      <c r="H34" s="25"/>
    </row>
    <row r="35" customFormat="false" ht="15" hidden="false" customHeight="false" outlineLevel="0" collapsed="false">
      <c r="A35" s="25"/>
      <c r="B35" s="25"/>
      <c r="C35" s="14"/>
      <c r="D35" s="25"/>
      <c r="E35" s="25"/>
      <c r="F35" s="25"/>
      <c r="G35" s="25"/>
      <c r="H35" s="25"/>
    </row>
    <row r="36" customFormat="false" ht="15" hidden="false" customHeight="false" outlineLevel="0" collapsed="false">
      <c r="A36" s="25"/>
      <c r="B36" s="25"/>
      <c r="C36" s="14"/>
      <c r="D36" s="25"/>
      <c r="E36" s="25"/>
      <c r="F36" s="25"/>
      <c r="G36" s="25"/>
      <c r="H36" s="25"/>
    </row>
    <row r="37" customFormat="false" ht="15" hidden="false" customHeight="false" outlineLevel="0" collapsed="false">
      <c r="A37" s="25"/>
      <c r="B37" s="25"/>
      <c r="C37" s="14"/>
      <c r="D37" s="25"/>
      <c r="E37" s="25"/>
      <c r="F37" s="25"/>
      <c r="G37" s="25"/>
      <c r="H37" s="25"/>
    </row>
    <row r="38" customFormat="false" ht="15" hidden="false" customHeight="false" outlineLevel="0" collapsed="false">
      <c r="A38" s="25"/>
      <c r="B38" s="25"/>
      <c r="C38" s="14"/>
      <c r="D38" s="25"/>
      <c r="E38" s="25"/>
      <c r="F38" s="25"/>
      <c r="G38" s="25"/>
      <c r="H38" s="25"/>
    </row>
    <row r="39" customFormat="false" ht="15" hidden="false" customHeight="false" outlineLevel="0" collapsed="false">
      <c r="A39" s="25"/>
      <c r="B39" s="25"/>
      <c r="C39" s="14"/>
      <c r="D39" s="25"/>
      <c r="E39" s="25"/>
      <c r="F39" s="25"/>
      <c r="G39" s="25"/>
      <c r="H39" s="25"/>
    </row>
    <row r="40" customFormat="false" ht="15" hidden="false" customHeight="false" outlineLevel="0" collapsed="false">
      <c r="A40" s="25"/>
      <c r="B40" s="25"/>
      <c r="C40" s="14"/>
      <c r="D40" s="25"/>
      <c r="E40" s="25"/>
      <c r="F40" s="25"/>
      <c r="G40" s="25"/>
      <c r="H40" s="25"/>
    </row>
    <row r="41" customFormat="false" ht="15" hidden="false" customHeight="false" outlineLevel="0" collapsed="false">
      <c r="A41" s="25"/>
      <c r="B41" s="25"/>
      <c r="C41" s="14"/>
      <c r="D41" s="25"/>
      <c r="E41" s="25"/>
      <c r="F41" s="25"/>
      <c r="G41" s="25"/>
      <c r="H41" s="25"/>
    </row>
    <row r="42" customFormat="false" ht="15" hidden="false" customHeight="false" outlineLevel="0" collapsed="false">
      <c r="A42" s="25"/>
      <c r="B42" s="25"/>
      <c r="C42" s="14"/>
      <c r="D42" s="25"/>
      <c r="E42" s="25"/>
      <c r="F42" s="25"/>
      <c r="G42" s="25"/>
      <c r="H42" s="25"/>
    </row>
    <row r="43" customFormat="false" ht="15" hidden="false" customHeight="false" outlineLevel="0" collapsed="false">
      <c r="A43" s="25"/>
      <c r="B43" s="25"/>
      <c r="C43" s="14"/>
      <c r="D43" s="25"/>
      <c r="E43" s="25"/>
      <c r="F43" s="25"/>
      <c r="G43" s="25"/>
      <c r="H43" s="25"/>
    </row>
    <row r="44" customFormat="false" ht="15" hidden="false" customHeight="false" outlineLevel="0" collapsed="false">
      <c r="A44" s="25"/>
      <c r="B44" s="25"/>
      <c r="C44" s="14"/>
      <c r="D44" s="25"/>
      <c r="E44" s="25"/>
      <c r="F44" s="25"/>
      <c r="G44" s="25"/>
      <c r="H44" s="25"/>
    </row>
    <row r="45" customFormat="false" ht="15" hidden="false" customHeight="false" outlineLevel="0" collapsed="false">
      <c r="A45" s="25"/>
      <c r="B45" s="25"/>
      <c r="C45" s="14"/>
      <c r="D45" s="25"/>
      <c r="E45" s="25"/>
      <c r="F45" s="25"/>
      <c r="G45" s="25"/>
      <c r="H45" s="25"/>
    </row>
    <row r="46" customFormat="false" ht="15" hidden="false" customHeight="false" outlineLevel="0" collapsed="false">
      <c r="A46" s="25"/>
      <c r="B46" s="25"/>
      <c r="C46" s="14"/>
      <c r="D46" s="25"/>
      <c r="E46" s="25"/>
      <c r="F46" s="25"/>
      <c r="G46" s="25"/>
      <c r="H46" s="25"/>
    </row>
    <row r="47" customFormat="false" ht="15" hidden="false" customHeight="false" outlineLevel="0" collapsed="false">
      <c r="A47" s="25"/>
      <c r="B47" s="25"/>
      <c r="C47" s="14"/>
      <c r="D47" s="25"/>
      <c r="E47" s="25"/>
      <c r="F47" s="25"/>
      <c r="G47" s="25"/>
      <c r="H47" s="25"/>
    </row>
    <row r="48" customFormat="false" ht="15" hidden="false" customHeight="false" outlineLevel="0" collapsed="false">
      <c r="A48" s="25"/>
      <c r="B48" s="25"/>
      <c r="C48" s="14"/>
      <c r="D48" s="25"/>
      <c r="E48" s="25"/>
      <c r="F48" s="25"/>
      <c r="G48" s="25"/>
      <c r="H48" s="25"/>
    </row>
    <row r="49" customFormat="false" ht="15" hidden="false" customHeight="false" outlineLevel="0" collapsed="false">
      <c r="A49" s="25"/>
      <c r="B49" s="25"/>
      <c r="C49" s="14"/>
      <c r="D49" s="25"/>
      <c r="E49" s="25"/>
      <c r="F49" s="25"/>
      <c r="G49" s="25"/>
      <c r="H49" s="25"/>
    </row>
    <row r="50" customFormat="false" ht="15" hidden="false" customHeight="false" outlineLevel="0" collapsed="false">
      <c r="A50" s="25"/>
      <c r="B50" s="25"/>
      <c r="C50" s="14"/>
      <c r="D50" s="25"/>
      <c r="E50" s="25"/>
      <c r="F50" s="25"/>
      <c r="G50" s="25"/>
      <c r="H50" s="25"/>
    </row>
    <row r="51" customFormat="false" ht="15" hidden="false" customHeight="false" outlineLevel="0" collapsed="false">
      <c r="A51" s="25"/>
      <c r="B51" s="25"/>
      <c r="C51" s="14"/>
      <c r="D51" s="25"/>
      <c r="E51" s="25"/>
      <c r="F51" s="25"/>
      <c r="G51" s="25"/>
      <c r="H51" s="25"/>
    </row>
    <row r="52" customFormat="false" ht="15" hidden="false" customHeight="false" outlineLevel="0" collapsed="false">
      <c r="A52" s="25"/>
      <c r="B52" s="25"/>
      <c r="C52" s="14"/>
      <c r="D52" s="25"/>
      <c r="E52" s="25"/>
      <c r="F52" s="25"/>
      <c r="G52" s="25"/>
      <c r="H52" s="25"/>
    </row>
    <row r="53" customFormat="false" ht="15" hidden="false" customHeight="false" outlineLevel="0" collapsed="false">
      <c r="A53" s="25"/>
      <c r="B53" s="25"/>
      <c r="C53" s="14"/>
      <c r="D53" s="25"/>
      <c r="E53" s="25"/>
      <c r="F53" s="25"/>
      <c r="G53" s="25"/>
      <c r="H53" s="25"/>
    </row>
    <row r="54" customFormat="false" ht="15" hidden="false" customHeight="false" outlineLevel="0" collapsed="false">
      <c r="A54" s="25"/>
      <c r="B54" s="25"/>
      <c r="C54" s="14"/>
      <c r="D54" s="25"/>
      <c r="E54" s="25"/>
      <c r="F54" s="25"/>
      <c r="G54" s="25"/>
      <c r="H54" s="25"/>
    </row>
    <row r="55" customFormat="false" ht="15" hidden="false" customHeight="false" outlineLevel="0" collapsed="false">
      <c r="A55" s="25"/>
      <c r="B55" s="25"/>
      <c r="C55" s="14"/>
      <c r="D55" s="25"/>
      <c r="E55" s="25"/>
      <c r="F55" s="25"/>
      <c r="G55" s="25"/>
      <c r="H55" s="25"/>
    </row>
    <row r="56" customFormat="false" ht="15" hidden="false" customHeight="false" outlineLevel="0" collapsed="false">
      <c r="A56" s="25"/>
      <c r="B56" s="25"/>
      <c r="C56" s="14"/>
      <c r="D56" s="25"/>
      <c r="E56" s="25"/>
      <c r="F56" s="25"/>
      <c r="G56" s="25"/>
      <c r="H56" s="25"/>
    </row>
    <row r="57" customFormat="false" ht="15" hidden="false" customHeight="false" outlineLevel="0" collapsed="false">
      <c r="A57" s="25"/>
      <c r="B57" s="25"/>
      <c r="C57" s="14"/>
      <c r="D57" s="25"/>
      <c r="E57" s="25"/>
      <c r="F57" s="25"/>
      <c r="G57" s="25"/>
      <c r="H57" s="25"/>
    </row>
    <row r="58" customFormat="false" ht="15" hidden="false" customHeight="false" outlineLevel="0" collapsed="false">
      <c r="A58" s="25"/>
      <c r="B58" s="25"/>
      <c r="C58" s="14"/>
      <c r="D58" s="25"/>
      <c r="E58" s="25"/>
      <c r="F58" s="25"/>
      <c r="G58" s="25"/>
      <c r="H58" s="25"/>
    </row>
    <row r="59" customFormat="false" ht="15" hidden="false" customHeight="false" outlineLevel="0" collapsed="false">
      <c r="A59" s="25"/>
      <c r="B59" s="25"/>
      <c r="C59" s="14"/>
      <c r="D59" s="25"/>
      <c r="E59" s="25"/>
      <c r="F59" s="25"/>
      <c r="G59" s="25"/>
      <c r="H59" s="25"/>
    </row>
    <row r="60" customFormat="false" ht="15" hidden="false" customHeight="false" outlineLevel="0" collapsed="false">
      <c r="A60" s="25"/>
      <c r="B60" s="25"/>
      <c r="C60" s="14"/>
      <c r="D60" s="25"/>
      <c r="E60" s="25"/>
      <c r="F60" s="25"/>
      <c r="G60" s="25"/>
      <c r="H60" s="25"/>
    </row>
    <row r="62" customFormat="false" ht="15" hidden="false" customHeight="false" outlineLevel="0" collapsed="false">
      <c r="A62" s="7" t="s">
        <v>96</v>
      </c>
    </row>
  </sheetData>
  <dataValidations count="3">
    <dataValidation allowBlank="true" errorStyle="stop" operator="between" showDropDown="false" showErrorMessage="false" showInputMessage="false" sqref="D2:D60" type="list">
      <formula1>Lists!$B$1:$B$3</formula1>
      <formula2>0</formula2>
    </dataValidation>
    <dataValidation allowBlank="true" errorStyle="stop" operator="between" showDropDown="false" showErrorMessage="false" showInputMessage="false" sqref="E2:E60" type="list">
      <formula1>Lists!$A$1:$A$14</formula1>
      <formula2>0</formula2>
    </dataValidation>
    <dataValidation allowBlank="true" errorStyle="stop" operator="between" showDropDown="false" showErrorMessage="false" showInputMessage="false" sqref="F2:F60" type="list">
      <formula1>Lists!$C$1:$C$2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10" t="s">
        <v>88</v>
      </c>
      <c r="B1" s="10" t="s">
        <v>31</v>
      </c>
      <c r="C1" s="10" t="s">
        <v>89</v>
      </c>
    </row>
    <row r="2" customFormat="false" ht="15" hidden="false" customHeight="false" outlineLevel="0" collapsed="false">
      <c r="A2" s="10" t="s">
        <v>91</v>
      </c>
      <c r="B2" s="10" t="s">
        <v>47</v>
      </c>
      <c r="C2" s="10" t="s">
        <v>92</v>
      </c>
    </row>
    <row r="3" customFormat="false" ht="15" hidden="false" customHeight="false" outlineLevel="0" collapsed="false">
      <c r="A3" s="10" t="s">
        <v>97</v>
      </c>
      <c r="B3" s="10" t="s">
        <v>57</v>
      </c>
    </row>
    <row r="4" customFormat="false" ht="15" hidden="false" customHeight="false" outlineLevel="0" collapsed="false">
      <c r="A4" s="10" t="s">
        <v>98</v>
      </c>
    </row>
    <row r="5" customFormat="false" ht="15" hidden="false" customHeight="false" outlineLevel="0" collapsed="false">
      <c r="A5" s="10" t="s">
        <v>99</v>
      </c>
    </row>
    <row r="6" customFormat="false" ht="15" hidden="false" customHeight="false" outlineLevel="0" collapsed="false">
      <c r="A6" s="10" t="s">
        <v>100</v>
      </c>
    </row>
    <row r="7" customFormat="false" ht="15" hidden="false" customHeight="false" outlineLevel="0" collapsed="false">
      <c r="A7" s="10" t="s">
        <v>101</v>
      </c>
    </row>
    <row r="8" customFormat="false" ht="15" hidden="false" customHeight="false" outlineLevel="0" collapsed="false">
      <c r="A8" s="10" t="s">
        <v>94</v>
      </c>
    </row>
    <row r="9" customFormat="false" ht="15" hidden="false" customHeight="false" outlineLevel="0" collapsed="false">
      <c r="A9" s="10" t="s">
        <v>102</v>
      </c>
    </row>
    <row r="10" customFormat="false" ht="15" hidden="false" customHeight="false" outlineLevel="0" collapsed="false">
      <c r="A10" s="10" t="s">
        <v>103</v>
      </c>
    </row>
    <row r="11" customFormat="false" ht="15" hidden="false" customHeight="false" outlineLevel="0" collapsed="false">
      <c r="A11" s="10" t="s">
        <v>104</v>
      </c>
    </row>
    <row r="12" customFormat="false" ht="15" hidden="false" customHeight="false" outlineLevel="0" collapsed="false">
      <c r="A12" s="10" t="s">
        <v>105</v>
      </c>
    </row>
    <row r="13" customFormat="false" ht="15" hidden="false" customHeight="false" outlineLevel="0" collapsed="false">
      <c r="A13" s="10" t="s">
        <v>106</v>
      </c>
    </row>
    <row r="14" customFormat="false" ht="15" hidden="false" customHeight="false" outlineLevel="0" collapsed="false">
      <c r="A14" s="10" t="s">
        <v>107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2026-10-27T13:32:25Z</dcterms:created>
  <dc:creator>openpyxl</dc:creator>
  <dc:description/>
  <dc:language>en-US</dc:language>
  <cp:lastModifiedBy/>
  <dcterms:modified xsi:type="dcterms:W3CDTF">2026-10-27T13:32:25Z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